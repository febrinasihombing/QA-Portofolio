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D:\PERKULIAHAN\GITHUB_PORTO\QA-Portofolio\Assesment\Leave-Management\"/>
    </mc:Choice>
  </mc:AlternateContent>
  <xr:revisionPtr revIDLastSave="0" documentId="13_ncr:1_{E25B188C-0B65-4FD7-B537-38D304D825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1" r:id="rId1"/>
    <sheet name="Test scenario" sheetId="2" r:id="rId2"/>
    <sheet name="Leave Management" sheetId="3" r:id="rId3"/>
    <sheet name="Bug Repor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3" l="1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<sst xmlns="http://schemas.openxmlformats.org/spreadsheetml/2006/main" count="334" uniqueCount="256">
  <si>
    <t xml:space="preserve">No </t>
  </si>
  <si>
    <t xml:space="preserve">TEST SCENARIO &amp; TEST CASE
MODUL LEAVE MANAGEMENT (CUTI KARYAWAN) </t>
  </si>
  <si>
    <t>No</t>
  </si>
  <si>
    <t xml:space="preserve">RINGKASAN DOKUMEN </t>
  </si>
  <si>
    <t>Test Scenario</t>
  </si>
  <si>
    <t>Test Case ID</t>
  </si>
  <si>
    <r>
      <rPr>
        <b/>
        <sz val="12"/>
        <color theme="1"/>
        <rFont val="Times New Roman"/>
        <family val="1"/>
      </rPr>
      <t xml:space="preserve">Nama Modul                        : </t>
    </r>
    <r>
      <rPr>
        <b/>
        <sz val="12"/>
        <color theme="1"/>
        <rFont val="Times New Roman"/>
        <family val="1"/>
      </rPr>
      <t>Leave Management (Cuti Karyawan)</t>
    </r>
  </si>
  <si>
    <t>Test Case Category</t>
  </si>
  <si>
    <t>Test Case Description</t>
  </si>
  <si>
    <t>Bug ID</t>
  </si>
  <si>
    <t>Pre-Condition</t>
  </si>
  <si>
    <t>Test Case Procedure</t>
  </si>
  <si>
    <t>Test Data</t>
  </si>
  <si>
    <t>Tittle</t>
  </si>
  <si>
    <t xml:space="preserve">Expected Result </t>
  </si>
  <si>
    <t>Module</t>
  </si>
  <si>
    <t>Menu</t>
  </si>
  <si>
    <t>Severity</t>
  </si>
  <si>
    <t>Scenario ID</t>
  </si>
  <si>
    <r>
      <rPr>
        <b/>
        <sz val="12"/>
        <color theme="1"/>
        <rFont val="Times New Roman"/>
        <family val="1"/>
      </rPr>
      <t xml:space="preserve">Ruang Lingkup Pengujian : </t>
    </r>
    <r>
      <rPr>
        <b/>
        <sz val="12"/>
        <color theme="1"/>
        <rFont val="Times New Roman"/>
        <family val="1"/>
      </rPr>
      <t>Proses Pengajuan Cuti, Approval Cuti, Laporan Cuti</t>
    </r>
  </si>
  <si>
    <t>Priority</t>
  </si>
  <si>
    <t>Status</t>
  </si>
  <si>
    <t>Precondition</t>
  </si>
  <si>
    <t>Langkah Reproduksi</t>
  </si>
  <si>
    <t>Fitur</t>
  </si>
  <si>
    <t>Expected Result</t>
  </si>
  <si>
    <t>Actual Result</t>
  </si>
  <si>
    <t>Impact</t>
  </si>
  <si>
    <t>Attachment</t>
  </si>
  <si>
    <t xml:space="preserve">BUSINESS RULES </t>
  </si>
  <si>
    <t>1. Karyawan mendapat hak cuti tahunan 12 hari per tahun.
2. Cuti karyawan terbit tanggal 1 Januari setiap tahunnya.
3. Karyawan yang berhak mendapatkan cuti adalah karyawan dengan masa kerja &gt;= 1
tahun di perusahaan.
4. Cuti harus diajukan minimal 3 hari sebelum tanggal cuti.
5. Sisa cuti tahun lalu bisa dibawa ke tahun berikutnya (expired 31 Desember tahun
berikutnya).
6. Approval flow: Employee → Direct Manager → HR Admin
7. Tidak bisa mengajukan cuti di tanggal yang sama dengan cuti yang sudah approved</t>
  </si>
  <si>
    <t>Ts-01</t>
  </si>
  <si>
    <t>Memastikan karyawan dapat 
mengajukan cuti dengan 
data yang valid.</t>
  </si>
  <si>
    <t>Pengajuan Cuti</t>
  </si>
  <si>
    <t>Memastikan karyawan dapat mengajukan cuti dengan 
data yang valid.</t>
  </si>
  <si>
    <t>High</t>
  </si>
  <si>
    <t>BUG-01</t>
  </si>
  <si>
    <t>Leave Management</t>
  </si>
  <si>
    <t>TC01</t>
  </si>
  <si>
    <t>Ts-02</t>
  </si>
  <si>
    <t>✅ Positif</t>
  </si>
  <si>
    <t>Memastikan karyawan berhasil 
mengajukan cuti dengan
 seluruh data yang valid.</t>
  </si>
  <si>
    <t xml:space="preserve">- Karyawan sudah login
- sudah berada pada
halaman pengajuan
- Memiliki saldo cuti &gt;= total cuti
- total kerja
 &gt;=  1tahun </t>
  </si>
  <si>
    <t>Memastikan fitur kalender otomatis menonaktifkan tanggal jika 
pengajuan cuti kurang dari H-3.</t>
  </si>
  <si>
    <t>- Klik tombol ajukan cuti 
- Isi modal form pengajuan lengkap
- klik tombol submit</t>
  </si>
  <si>
    <t>Tanggal: 15–16 Juli 2026
Alasan: Acara keluarga</t>
  </si>
  <si>
    <t>Pengajuan cuti berhasil 
dikirim dan status berubah
 menjadi Pending.</t>
  </si>
  <si>
    <t>Ts-03</t>
  </si>
  <si>
    <t>Memastikan sistem memvalidasi tanggal mulai cuti tidak 
melebihi tanggal selesai cuti.</t>
  </si>
  <si>
    <t xml:space="preserve">High </t>
  </si>
  <si>
    <t>Ts-04</t>
  </si>
  <si>
    <t>TC02</t>
  </si>
  <si>
    <t>Memastikan sistem menampilkan status pengajuan cuti sebagai Pending 
setelah pengajuan berhasil dikirim.</t>
  </si>
  <si>
    <t>🚫 Negatif</t>
  </si>
  <si>
    <t>Memastikan sistem menolak
 pengajuan cuti apabila 
tanggal cuti tidak diisi.</t>
  </si>
  <si>
    <t>- Klik tombol ajukan cuti 
- Isi modal form pengajuan ( alasan cuti)
- klik tombol submit</t>
  </si>
  <si>
    <t>Tanggal: -
Alasan: Acara keluarga</t>
  </si>
  <si>
    <t>Sistem menampilkan pesan
 validasi bahwa tanggal
 cuti wajib diisi dan
 pengajuan tidak dikirim.</t>
  </si>
  <si>
    <t>Ts-05</t>
  </si>
  <si>
    <t>Memastikan karyawan &lt;= 1 tahun kerja tidak dapat mengajukan
cuti</t>
  </si>
  <si>
    <t>Ts-06</t>
  </si>
  <si>
    <t>Open</t>
  </si>
  <si>
    <t>Memastikan sistem memvalidasi jumlah hari cuti terhadap 
saldo cuti yang dimiliki karyawan.</t>
  </si>
  <si>
    <t>- karyawan sudah login
- Memiliki sisa cuti 2</t>
  </si>
  <si>
    <t>- Klik menu pengajuan
- Klik tombol ajukan cuti
- isi modal form pengajuan
- Ajukan cuti selama 5 hari.
- Klik tombol submit</t>
  </si>
  <si>
    <t>TC03</t>
  </si>
  <si>
    <t>Sistem menolak pengajuan cuti dan
 menampilkan pesan bahwa
 jumlah hari cuti melebihi 
sisa saldo cuti. Pengajuan tidak
 boleh disimpan.</t>
  </si>
  <si>
    <t>Memastikan sistem menolak
 pengajuan cuti apabila 
alsan cuti tidak diisi.</t>
  </si>
  <si>
    <t>Sistem tetap menerima pengajuan
 cuti meskipun jumlah hari yang
 diajukan melebihi sisa saldo 
cuti karyawan.</t>
  </si>
  <si>
    <t>Ts-07</t>
  </si>
  <si>
    <t>- Klik tombol ajukan cuti 
- Isi modal form pengajuan ( tanggal cuti)
- klik tombol submit</t>
  </si>
  <si>
    <t xml:space="preserve">Tanggal: 15–16 Juli 2026
Alasan: </t>
  </si>
  <si>
    <t>Memastikan sistem tidak mengizinkan pengajuan cuti pada tanggal 
yang bertumpang tindih dengan cuti yang telah disetujui.</t>
  </si>
  <si>
    <t>Saldo cuti menjadi tidak valid,
 karyawan dapat mengambil cuti melebihi 
haknya, dan laporan cuti HR
 menjadi tidak akurat.</t>
  </si>
  <si>
    <t>Sistem menampilkan pesan
 validasi bahwa alasan
 cuti wajib diisi dan
 pengajuan tidak dikirim.</t>
  </si>
  <si>
    <t>bug.png</t>
  </si>
  <si>
    <t>Memastikan fitur kalender
 otomatis menonaktifkan
 tanggal jika pengajuan
 cuti kurang dari H-3.</t>
  </si>
  <si>
    <t>Ts-08</t>
  </si>
  <si>
    <t>Memastikan sistem menerapkan carry over saldo cuti tahun sebelumnya
 sesuai kebijakan beserta masa kedaluwarsanya.</t>
  </si>
  <si>
    <t>Medium</t>
  </si>
  <si>
    <t>Ts-09</t>
  </si>
  <si>
    <t>TC04</t>
  </si>
  <si>
    <t>Memastikan sistem hanya menghitung hari kerja sebagai 
pengurang saldo cuti.</t>
  </si>
  <si>
    <t>Memastikan tanggal cuti yang
 memenuhi aturan minimal
 H-3 dapat dipilih pada kalender.</t>
  </si>
  <si>
    <t xml:space="preserve">- Karyawan sudah login
- sudah berada pada
halaman pengajuan
</t>
  </si>
  <si>
    <t>- Klik tombol ajukan cuti 
- Isi modal form pengajuan 
-Pilih tanggal cuti H+3 atau lebih 
dari tanggal saat ini.
- klik tombol submit</t>
  </si>
  <si>
    <t>Hari ini: 1 Juli 2026
Tanggal cuti: 4 Juli 2026</t>
  </si>
  <si>
    <t>Tanggal dapat dipilih dan 
pengajuan dapat dilanjutkan.</t>
  </si>
  <si>
    <t>TC05</t>
  </si>
  <si>
    <t>Ts-10</t>
  </si>
  <si>
    <t>Approval Cuti</t>
  </si>
  <si>
    <t>Memastikan tanggal cuti 
kurang dari H-3 tidak dapat 
dipilih pada kalender.</t>
  </si>
  <si>
    <t>Memastikan manager dapat menyetujui pengajuan cuti bawahan.</t>
  </si>
  <si>
    <t>- Klik tombol ajukan cuti 
- Isi modal form pengajuan 
- Pilih tanggal cuti pilih tanggal cuti kurang
dari H-3.
- klik tombol submit</t>
  </si>
  <si>
    <t>Hari ini: 1 Juli 2026
Tanggal cuti: 2 Juli 2026</t>
  </si>
  <si>
    <t>Tanggal tidak dapat dipilih 
,sistem menampilkan 
pesan bahwa pengajuan 
minimal H-3.</t>
  </si>
  <si>
    <t>Ts-11</t>
  </si>
  <si>
    <t>Memastikan sistem 
memvalidasi tanggal mulai 
cuti tidak melebihi 
tanggal selesai cuti.</t>
  </si>
  <si>
    <t>Memastikan manager dapat menolak pengajuan cuti bawahan</t>
  </si>
  <si>
    <t>TC06</t>
  </si>
  <si>
    <t>Memastikan pengajuan cuti berhasil 
ketika tanggal mulai cuti
 lebih kecil dari tanggal selesai cuti.</t>
  </si>
  <si>
    <t xml:space="preserve">- Karyawan sudah login
- sudah berada pada
halaman pengajuan
- Memiliki saldo cuti &gt;= total cuti
</t>
  </si>
  <si>
    <t>- Klik tombol ajukan cuti 
- Isi modal form pengajuan 
- Pilih tanggal mulai dan tanggal 
selesai yang valid.
- klik tombol submit</t>
  </si>
  <si>
    <t>Tanggal mulai: 10 Juli 2026
Tanggal selesai: 12 Juli 2026</t>
  </si>
  <si>
    <t>Ts-12</t>
  </si>
  <si>
    <t>Pengajuan cuti 
berhasil dikirim.</t>
  </si>
  <si>
    <t>Memastikan saldo cuti otomatis berkurang setelah pengajuan cuti disetujui.</t>
  </si>
  <si>
    <t>Ts-13</t>
  </si>
  <si>
    <t>Memastikan saldo cuti tidak berkurang ketika pengajuan cuti ditolak</t>
  </si>
  <si>
    <t>TC07</t>
  </si>
  <si>
    <t>⚠️ Abnormal</t>
  </si>
  <si>
    <t>Memastikan pengajuan cuti 
berhasil ketika tanggal 
mulai dan tanggal selesai sama
 (cuti 1 hari).</t>
  </si>
  <si>
    <t>Ts-14</t>
  </si>
  <si>
    <t>- Klik tombol ajukan cuti 
- Isi modal form pengajuan 
- Pilih tanggal mulai dan tanggal 
selesai yang sama
- klik tombol submit</t>
  </si>
  <si>
    <t>Laporan Cuti</t>
  </si>
  <si>
    <t>Tanggal mulai: 10 Juli 2026
Tanggal selesai: 10 Juli 2026</t>
  </si>
  <si>
    <t>Memastikan HR Admin dapat menghasilkan laporan cuti seluruh karyawan.</t>
  </si>
  <si>
    <t>Pengajuan cuti berhasil 
dikirim sebagai cuti 1 hari.</t>
  </si>
  <si>
    <t>Ts-15</t>
  </si>
  <si>
    <t>TC08</t>
  </si>
  <si>
    <t>Memastikan data pada file hasil ekspor sesuai dengan
 data yang ditampilkan di sistem.</t>
  </si>
  <si>
    <t>Memastikan sistem menolak 
pengajuan cuti ketika tanggal 
mulai lebih besar dari tanggal selesai.</t>
  </si>
  <si>
    <t>- Klik tombol ajukan cuti 
- Isi modal form pengajuan 
- Pilih tanggal mulai setelah tanggal selesai.
- klik tombol submit</t>
  </si>
  <si>
    <t>Tanggal mulai: 12 Juli 2026
Tanggal selesai: 10 Juli 2026</t>
  </si>
  <si>
    <t>Sistem menampilkan pesan 
validasi bahwa tanggal mulai 
tidak boleh melebihi 
tanggal selesai dan pengajuan 
tidak diproses.</t>
  </si>
  <si>
    <t>Ts-16</t>
  </si>
  <si>
    <t>Memastikan data cuti dapat difilter berdasarkan kriteria yang tersedia.</t>
  </si>
  <si>
    <t>Memastikan sistem menampilkan
 status pengajuan cuti sebagai 
Pending setelah pengajuan 
berhasil dikirim.</t>
  </si>
  <si>
    <t>TC09</t>
  </si>
  <si>
    <t>Memastikan status pengajuan cuti 
berubah menjadi Pending
 setelah pengajuan berhasil dikirim.</t>
  </si>
  <si>
    <t>Pengajuan berhasil dibuat dan 
status ditampilkan sebagai 
Pending.</t>
  </si>
  <si>
    <t>Ts-17</t>
  </si>
  <si>
    <t>Memastikan hasil filter hanya menampilkan data yang sesuai 
dengan kriteria yang dipilih.</t>
  </si>
  <si>
    <t>Memastikan karyawan &lt;= 1 
tahun kerja tidak dapat 
mengajukan cuti</t>
  </si>
  <si>
    <t>TC10</t>
  </si>
  <si>
    <t>Memastikan karyawan dengan
 masa kerja kurang dari 1 tahun 
tidak dapat mengajukan cuti.</t>
  </si>
  <si>
    <t xml:space="preserve">- Karyawan sudah login
- sudah berada pada
halaman pengajuan
- masa kerja &lt; 1 tahun
 tersedia di sistem.
</t>
  </si>
  <si>
    <t>- Klik tombol ajukan cuti</t>
  </si>
  <si>
    <t>-</t>
  </si>
  <si>
    <t>- modal form pengajuan cuti 
tidak muncul
- muncul allert "anda belum 
memenuhi syarat"</t>
  </si>
  <si>
    <t>Memastikan sistem memvalidasi
 jumlah hari cuti terhadap 
saldo cuti yang dimiliki karyawan.</t>
  </si>
  <si>
    <t>TC11</t>
  </si>
  <si>
    <t>Memastikan pengajuan cuti berhasil 
ketika jumlah hari cuti yang diajukan 
lebih kecil dari saldo cuti yang dimiliki.</t>
  </si>
  <si>
    <t xml:space="preserve">- Karyawan sudah login
- sudah berada pada
halaman pengajuan
- Memiliki sisa saldo 5 hari
</t>
  </si>
  <si>
    <t>- Klik tombol ajukan cuti
- isi modal form pengajuan
-Ajukan cuti selama 5 hari.
- Klik tombol simpan</t>
  </si>
  <si>
    <t>Tanggal mulai: 10 Juli 2026
Tanggal selesai: 15 Juli 2026</t>
  </si>
  <si>
    <t>Pengajuan cuti berhasil 
dikirim dengan status Pending.</t>
  </si>
  <si>
    <t>TC12</t>
  </si>
  <si>
    <t>Memastikan sistem menolak
 pengajuan cuti ketika jumlah hari
 cuti melebihi saldo cuti yang dimiliki.</t>
  </si>
  <si>
    <t>- Klik tombol ajukan cuti
- isi modal form pengajuan
-Ajukan cuti selama 6 hari.
- Klik tombol simpan</t>
  </si>
  <si>
    <t>Tanggal mulai: 10 Juli 2026
Tanggal selesai: 16 Juli 2026</t>
  </si>
  <si>
    <t>Pengajuan cuti ditolak dan 
sistem menampilkan pesan 
bahwa saldo cuti tidak 
mencukupi.</t>
  </si>
  <si>
    <t>Memastikan sistem tidak
 mengizinkan pengajuan cuti pada
 tanggal yang bertumpang tindih
 dengan cuti yang telah disetujui.</t>
  </si>
  <si>
    <t>TC13</t>
  </si>
  <si>
    <t>Memastikan pengajuan cuti 
berhasil ketika rentang tanggal 
tidak bertumpang tindih dengan
 cuti yang telah disetujui.</t>
  </si>
  <si>
    <t xml:space="preserve">- Karyawan sudah login
- sudah berada pada
halaman pengajuan
- memiliki satu cuti 
yang telah disetujui.
</t>
  </si>
  <si>
    <t>- Klik tombol ajukan cuti
- isi modal form pengajuan
-Ajukan cuti pada rentang
 tanggal yang berbeda.
- Klik tombol simpan</t>
  </si>
  <si>
    <t>Cuti disetujui: 10–12 Juli 2026
Pengajuan baru: 15–16 Juli 2026</t>
  </si>
  <si>
    <t>Pengajuan cuti berhasil dikirim 
dengan status Pending.</t>
  </si>
  <si>
    <t>TC14</t>
  </si>
  <si>
    <t>Memastikan sistem menolak 
pengajuan cuti yang seluruh rentang
 tanggalnya bertumpang tindih dengan cuti 
yang telah disetujui.</t>
  </si>
  <si>
    <t>-sudah login
- berada pada halaman pengajuan
-Karyawan telah memiliki 
cuti yang disetujui.</t>
  </si>
  <si>
    <t>- Klik tombol ajukan cuti
-Ajukan cuti pada rentang tanggal yang sama.
- Klik tombol simpan</t>
  </si>
  <si>
    <t>Cuti disetujui: 10–12 Juli 2026
Pengajuan baru: 10–12 Juli 2026</t>
  </si>
  <si>
    <t>- pengajuan ditolak dan 
menampilkan "pengajuan
sudah dilakukan"</t>
  </si>
  <si>
    <t>Memastikan sistem menerapkan
 carry over saldo cuti tahun
 sebelumnya sesuai kebijakan
 beserta masa kedaluwarsanya.</t>
  </si>
  <si>
    <t>TC15</t>
  </si>
  <si>
    <t>Memastikan saldo cuti tahun 
sebelumnya dibawa ke tahun 
berikutnya sesuai kebijakan carry over.</t>
  </si>
  <si>
    <t>-karyawan sudah login
-Karyawan memiliki sisa cuti
 tahun sebelumnya yang masih 
memenuhi syarat carry over.</t>
  </si>
  <si>
    <t xml:space="preserve">- klik menu pengajuan cuti
- klik detail saldo cuti
- filtering saldo aktif
</t>
  </si>
  <si>
    <t xml:space="preserve">Sisa cuti 2026: 5 hari
Sisa cuti 2027: 12 hari
</t>
  </si>
  <si>
    <t>Saldo carry over 5 hari 
berhasil ditambahkan ke saldo 
cuti tahun berikutnya.</t>
  </si>
  <si>
    <t>TC16</t>
  </si>
  <si>
    <t>Memastikan saldo carry over 
digunakan lebih awal sebelum 
kadaluarsa</t>
  </si>
  <si>
    <t>-karyawan sudah login
-Karyawan memiliki sisa cuti
 tahun sebelumnya yang masih 
memenuhi syarat carry over.
- saldo carry over : 5
saldo baru : 12</t>
  </si>
  <si>
    <t>- Klik tombol ajukan cuti 
- Isi modal form pengajuan lengkap
- ajukan cuti 3 hari
- klik tombol submit</t>
  </si>
  <si>
    <t>Sisa cuti 2026: 2 hari
Sisa cuti 2027: 12 hari</t>
  </si>
  <si>
    <t>saldo carry over digunakan 
lebih dulu tanpa mengurangi 
saldo baru</t>
  </si>
  <si>
    <t>Memastikan sistem hanya 
menghitung hari kerja sebagai 
pengurang saldo cuti.</t>
  </si>
  <si>
    <t>TC17</t>
  </si>
  <si>
    <t>Memastikan sistem hanya
 menghitung hari kerja
 sebagai pengurang saldo cuti.</t>
  </si>
  <si>
    <t>- Karyawan telah login 
- memiliki saldo cuti yang
 mencukupi.</t>
  </si>
  <si>
    <t>- Klik tombol ajukan cuti 
- Isi modal form pengajuan lengkap
- ajukan cuti yang mencakup weekend, libur 
dan hari kerja
- klik tombol submit</t>
  </si>
  <si>
    <t>Tanggal cuti: 7–11 Juli 2026 
(Sabtu dan Minggu b
erada di rentang tersebut)</t>
  </si>
  <si>
    <t>Saldo cuti hanya berkurang
 sesuai jumlah hari kerja.</t>
  </si>
  <si>
    <t>TC18</t>
  </si>
  <si>
    <t>Memastikan sistem tidak 
mengurangi saldo cuti apabila
 rentang pengajuan hanya terdiri
 dari hari non-kerja.</t>
  </si>
  <si>
    <t>Sabtu–Minggu</t>
  </si>
  <si>
    <t>Saldo cuti tidak berkurang, 
atau sistem menampilkan bahwa
 tidak ada hari kerja yang 
dapat diajukan sebagai cuti.</t>
  </si>
  <si>
    <t>Memastikan manager dapat
 menyetujui pengajuan 
cuti bawahan.</t>
  </si>
  <si>
    <t>TC19</t>
  </si>
  <si>
    <t>Memastikan manager dapat 
menyetujui pengajuan cuti 
bawahan yang berstatus Pending.</t>
  </si>
  <si>
    <t>-  manager sudah login
- berada pada menu pengajuan
-Terdapat pengajuan cuti dengan 
status Pending.</t>
  </si>
  <si>
    <t>- klik tombol approve pada salah
satu pengajuan</t>
  </si>
  <si>
    <t>Pengajuan cuti berstatus
 Pending</t>
  </si>
  <si>
    <t>Status pengajuan berubah
 menjadi Approved. 
- Menampilkan notifikasi 
disetujui(karyawan)</t>
  </si>
  <si>
    <t>TC20</t>
  </si>
  <si>
    <t>Memastikan manager tidak 
dapat menyetujui pengajuan 
cuti yang sudah berstatus Approved.</t>
  </si>
  <si>
    <t>-sudah login
- Terdapat pengajuan
 dengan status Approved.</t>
  </si>
  <si>
    <t>- klik tombol approve pada salah
satu pengajuan yang sudah disetujui</t>
  </si>
  <si>
    <t>Pengajuan berstatus Approved</t>
  </si>
  <si>
    <t>Sistem menolak aksi approval 
dan menampilkan pesan 
bahwa pengajuan telah diproses.</t>
  </si>
  <si>
    <t>Memastikan manager 
dapat menolak pengajuan
 cuti bawahan</t>
  </si>
  <si>
    <t>TC21</t>
  </si>
  <si>
    <t>Memastikan manager dapat
 menolak pengajuan cuti 
bawahan yang berstatus Pending</t>
  </si>
  <si>
    <t>-sudah login
- Terdapat pengajuan
 dengan status pending</t>
  </si>
  <si>
    <t>- klik tombol rejected pada salah
satu pengajuan</t>
  </si>
  <si>
    <t>Status pengajuan berubah
 menjadi rejected
- Menampilkan notifikasi 
ditolak(karyawan)</t>
  </si>
  <si>
    <t>TC22</t>
  </si>
  <si>
    <t>Memastikan manager tidak dapat
 menolak pengajuan cuti yang 
sudah berstatus Approved.</t>
  </si>
  <si>
    <t>-sudah login
- Terdapat pengajuan cuti
 dengan status Approved.</t>
  </si>
  <si>
    <t>- klik tombol rejected pada salah
satu pengajuan berstatus approved</t>
  </si>
  <si>
    <t>Sistem menolak aksi penolakan 
dan status tetap Approved.</t>
  </si>
  <si>
    <t>Memastikan saldo cuti 
otomatis berkurang setelah 
pengajuan cuti disetujui.</t>
  </si>
  <si>
    <t>TC23</t>
  </si>
  <si>
    <t>Memastikan saldo cuti otomatis
 berkurang sesuai jumlah hari cuti
 setelah pengajuan disetujui.</t>
  </si>
  <si>
    <t>-sudah login
- Memiliki 12 saldo cuti</t>
  </si>
  <si>
    <t>- kli tombol Approve pada salah satu cuti
-klik detail saldo pada salah satu pengajuan</t>
  </si>
  <si>
    <t>Saldo awal: 12 hari
Durasi cuti: 3 hari</t>
  </si>
  <si>
    <t>Saldo cuti berkurang 
menjadi 9 hari.</t>
  </si>
  <si>
    <t>TC24</t>
  </si>
  <si>
    <t>Memastikan saldo cuti menjadi 0 
ketika jumlah hari cuti yang disetujui 
sama dengan sisa saldo cuti.</t>
  </si>
  <si>
    <t>-sudah login
- Memiliki 5 saldo cuti</t>
  </si>
  <si>
    <t>Saldo awal: 5 hari
Durasi cuti: 5 hari</t>
  </si>
  <si>
    <t>Saldo cuti berkurang 
menjadi 0 hari.</t>
  </si>
  <si>
    <t>TC25</t>
  </si>
  <si>
    <t>Memastikan saldo cuti tidak berubah
 apabila proses persetujuan
 gagal atau tidak berhasil disimpan.</t>
  </si>
  <si>
    <t>- kli tombol rejected pada salah satu cuti
-klik detail saldo pada salah satu pengajuan</t>
  </si>
  <si>
    <t>Saldo awal: 5 hari
sisa saldo : 5 hari</t>
  </si>
  <si>
    <t xml:space="preserve">Saldo cuti tidak berkurang 
</t>
  </si>
  <si>
    <t>Memastikan HR Admin dapat 
menghasilkan laporan cuti 
karyawan.</t>
  </si>
  <si>
    <t>TC26</t>
  </si>
  <si>
    <t>Memastikan HR Admin dapat 
menghasilkan laporan cuti 
seluruh karyawan.</t>
  </si>
  <si>
    <t>- HR sudah login
-terdapat data cuti karyawan</t>
  </si>
  <si>
    <t>- klik menu laporan cuti
- klik generate laporan</t>
  </si>
  <si>
    <t>Data cuti karyawan tersedia</t>
  </si>
  <si>
    <t>Sistem berhasil menghasilkan
 laporan cuti seluruh karyawan.</t>
  </si>
  <si>
    <t>Memastikan data cuti dapat 
difilter berdasarkan kriteria 
yang tersedia.</t>
  </si>
  <si>
    <t>TC27</t>
  </si>
  <si>
    <t>Memastikan HR Admin dapat
menghasilkan laporan cuti
 berdasarkan periode tertentu.</t>
  </si>
  <si>
    <t>- klik menu laporan cuti
-Pilih periode laporan.
- klik generate laporan</t>
  </si>
  <si>
    <t>Periode: Januari–
Desember 2026</t>
  </si>
  <si>
    <t>Laporan berhasil ditampilkan
 sesuai periode yang dipilih.</t>
  </si>
  <si>
    <t>Memastikan data pada file 
hasil ekspor sesuai dengan
 data yang ditampilkan di sistem.</t>
  </si>
  <si>
    <t>TC28</t>
  </si>
  <si>
    <t>- HR sudah login
- HR Admin telah berhasil 
menghasilkan laporan cuti.</t>
  </si>
  <si>
    <t>- Ekspor laporan.
-Bandingkan laporan</t>
  </si>
  <si>
    <t>Data cuti seluruh karyawan</t>
  </si>
  <si>
    <t>Seluruh data pada file hasil ekspor 
sesuai dengan data yang 
ditampilkan di sistem.</t>
  </si>
  <si>
    <t>Memastikan hasil filter 
hanya menampilkan data yang
 sesuai dengan kriteria yang dipilih,</t>
  </si>
  <si>
    <t>TC29</t>
  </si>
  <si>
    <t>Memastikan hasil filter berdasarkan 
status cuti hanya menampilkan 
data dengan status yang dipilih.</t>
  </si>
  <si>
    <t>HR Admin telah login dan 
terdapat data cuti dengan berbagai
 status.</t>
  </si>
  <si>
    <t>- klik menu laporan
- pilih filter status = approved
- klik apply filter</t>
  </si>
  <si>
    <t>Status = Approved</t>
  </si>
  <si>
    <t>Sistem hanya menampilkan 
data cuti dengan status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</si>
</sst>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b/>
      <sz val="15"/>
      <color rgb="FFFFFFFF"/>
      <name val="Times New Roman"/>
      <family val="1"/>
    </font>
    <font>
      <b/>
      <sz val="12"/>
      <color rgb="FFFFFFFF"/>
      <name val="Times New Roman"/>
      <family val="1"/>
    </font>
    <font>
      <b/>
      <sz val="14"/>
      <color rgb="FF0C343D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3" borderId="2" xfId="0" applyFont="1" applyFill="1" applyBorder="1"/>
    <xf numFmtId="0" fontId="8" fillId="3" borderId="4" xfId="0" applyFont="1" applyFill="1" applyBorder="1"/>
    <xf numFmtId="0" fontId="8" fillId="4" borderId="2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8" fillId="4" borderId="4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3" topLeftCell="A4" activePane="bottomLeft" state="frozen"/>
      <selection pane="bottomLeft" activeCell="J8" sqref="J8"/>
    </sheetView>
  </sheetViews>
  <sheetFormatPr defaultColWidth="12.6328125" defaultRowHeight="12.5" x14ac:dyDescent="0.25"/>
  <sheetData>
    <row r="1" spans="1:26" ht="13" x14ac:dyDescent="0.3">
      <c r="A1" s="1"/>
      <c r="B1" s="19" t="s">
        <v>1</v>
      </c>
      <c r="C1" s="17"/>
      <c r="D1" s="17"/>
      <c r="E1" s="17"/>
      <c r="F1" s="17"/>
      <c r="G1" s="17"/>
      <c r="H1" s="17"/>
      <c r="I1" s="17"/>
      <c r="J1" s="1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3">
      <c r="A2" s="1"/>
      <c r="B2" s="17"/>
      <c r="C2" s="17"/>
      <c r="D2" s="17"/>
      <c r="E2" s="17"/>
      <c r="F2" s="17"/>
      <c r="G2" s="17"/>
      <c r="H2" s="17"/>
      <c r="I2" s="17"/>
      <c r="J2" s="1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 x14ac:dyDescent="0.3">
      <c r="A3" s="1"/>
      <c r="B3" s="17"/>
      <c r="C3" s="17"/>
      <c r="D3" s="17"/>
      <c r="E3" s="17"/>
      <c r="F3" s="17"/>
      <c r="G3" s="17"/>
      <c r="H3" s="17"/>
      <c r="I3" s="17"/>
      <c r="J3" s="1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x14ac:dyDescent="0.35">
      <c r="A5" s="20" t="s">
        <v>3</v>
      </c>
      <c r="B5" s="17"/>
      <c r="C5" s="17"/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" x14ac:dyDescent="0.3">
      <c r="A6" s="21" t="s">
        <v>6</v>
      </c>
      <c r="B6" s="17"/>
      <c r="C6" s="17"/>
      <c r="D6" s="17"/>
      <c r="E6" s="17"/>
      <c r="F6" s="1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" x14ac:dyDescent="0.3">
      <c r="A7" s="21" t="s">
        <v>19</v>
      </c>
      <c r="B7" s="17"/>
      <c r="C7" s="17"/>
      <c r="D7" s="17"/>
      <c r="E7" s="17"/>
      <c r="F7" s="1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16"/>
      <c r="B8" s="17"/>
      <c r="C8" s="17"/>
      <c r="D8" s="17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22" t="s">
        <v>29</v>
      </c>
      <c r="B9" s="17"/>
      <c r="C9" s="17"/>
      <c r="D9" s="17"/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5" x14ac:dyDescent="0.35">
      <c r="A10" s="16"/>
      <c r="B10" s="17"/>
      <c r="C10" s="17"/>
      <c r="D10" s="17"/>
      <c r="E10" s="4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x14ac:dyDescent="0.35">
      <c r="A11" s="16" t="s">
        <v>30</v>
      </c>
      <c r="B11" s="17"/>
      <c r="C11" s="17"/>
      <c r="D11" s="17"/>
      <c r="E11" s="17"/>
      <c r="F11" s="1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" x14ac:dyDescent="0.3">
      <c r="A12" s="18"/>
      <c r="B12" s="17"/>
      <c r="C12" s="17"/>
      <c r="D12" s="1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" x14ac:dyDescent="0.3">
      <c r="A13" s="18"/>
      <c r="B13" s="17"/>
      <c r="C13" s="17"/>
      <c r="D13" s="1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A11:F11"/>
    <mergeCell ref="A12:D12"/>
    <mergeCell ref="A13:D13"/>
    <mergeCell ref="B1:J3"/>
    <mergeCell ref="A5:D5"/>
    <mergeCell ref="A6:F6"/>
    <mergeCell ref="A7:F7"/>
    <mergeCell ref="A8:D8"/>
    <mergeCell ref="A9:D9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ySplit="2" topLeftCell="A8" activePane="bottomLeft" state="frozen"/>
      <selection pane="bottomLeft" activeCell="G8" sqref="G8"/>
    </sheetView>
  </sheetViews>
  <sheetFormatPr defaultColWidth="12.6328125" defaultRowHeight="15.75" customHeight="1" x14ac:dyDescent="0.25"/>
  <cols>
    <col min="1" max="1" width="8.7265625" customWidth="1"/>
    <col min="2" max="2" width="16.453125" customWidth="1"/>
    <col min="3" max="3" width="24.08984375" customWidth="1"/>
    <col min="4" max="4" width="74.08984375" customWidth="1"/>
    <col min="5" max="5" width="22.36328125" customWidth="1"/>
  </cols>
  <sheetData>
    <row r="1" spans="1:26" ht="15.5" x14ac:dyDescent="0.25">
      <c r="A1" s="15" t="s">
        <v>2</v>
      </c>
      <c r="B1" s="15" t="s">
        <v>18</v>
      </c>
      <c r="C1" s="15" t="s">
        <v>24</v>
      </c>
      <c r="D1" s="15" t="s">
        <v>4</v>
      </c>
      <c r="E1" s="15" t="s">
        <v>20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5" x14ac:dyDescent="0.25">
      <c r="A2" s="10"/>
      <c r="B2" s="10"/>
      <c r="C2" s="10"/>
      <c r="D2" s="10"/>
      <c r="E2" s="1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1" x14ac:dyDescent="0.25">
      <c r="A3" s="5">
        <f t="shared" ref="A3:A19" si="0">ROW()-2</f>
        <v>1</v>
      </c>
      <c r="B3" s="5" t="s">
        <v>31</v>
      </c>
      <c r="C3" s="5" t="s">
        <v>33</v>
      </c>
      <c r="D3" s="5" t="s">
        <v>34</v>
      </c>
      <c r="E3" s="5" t="s">
        <v>35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1" x14ac:dyDescent="0.25">
      <c r="A4" s="6">
        <f t="shared" si="0"/>
        <v>2</v>
      </c>
      <c r="B4" s="6" t="s">
        <v>39</v>
      </c>
      <c r="C4" s="6" t="s">
        <v>33</v>
      </c>
      <c r="D4" s="6" t="s">
        <v>43</v>
      </c>
      <c r="E4" s="6" t="s">
        <v>35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1" x14ac:dyDescent="0.25">
      <c r="A5" s="5">
        <f t="shared" si="0"/>
        <v>3</v>
      </c>
      <c r="B5" s="5" t="s">
        <v>47</v>
      </c>
      <c r="C5" s="5" t="s">
        <v>33</v>
      </c>
      <c r="D5" s="5" t="s">
        <v>48</v>
      </c>
      <c r="E5" s="5" t="s">
        <v>35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1" x14ac:dyDescent="0.25">
      <c r="A6" s="6">
        <f t="shared" si="0"/>
        <v>4</v>
      </c>
      <c r="B6" s="6" t="s">
        <v>50</v>
      </c>
      <c r="C6" s="6" t="s">
        <v>33</v>
      </c>
      <c r="D6" s="6" t="s">
        <v>52</v>
      </c>
      <c r="E6" s="6" t="s">
        <v>35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1" x14ac:dyDescent="0.25">
      <c r="A7" s="5">
        <f t="shared" si="0"/>
        <v>5</v>
      </c>
      <c r="B7" s="5" t="s">
        <v>58</v>
      </c>
      <c r="C7" s="5" t="s">
        <v>33</v>
      </c>
      <c r="D7" s="5" t="s">
        <v>59</v>
      </c>
      <c r="E7" s="5" t="s">
        <v>35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1" x14ac:dyDescent="0.25">
      <c r="A8" s="6">
        <f t="shared" si="0"/>
        <v>6</v>
      </c>
      <c r="B8" s="6" t="s">
        <v>60</v>
      </c>
      <c r="C8" s="6" t="s">
        <v>33</v>
      </c>
      <c r="D8" s="6" t="s">
        <v>62</v>
      </c>
      <c r="E8" s="6" t="s">
        <v>35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1" x14ac:dyDescent="0.25">
      <c r="A9" s="5">
        <f t="shared" si="0"/>
        <v>7</v>
      </c>
      <c r="B9" s="5" t="s">
        <v>69</v>
      </c>
      <c r="C9" s="5" t="s">
        <v>33</v>
      </c>
      <c r="D9" s="5" t="s">
        <v>72</v>
      </c>
      <c r="E9" s="5" t="s">
        <v>35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1" x14ac:dyDescent="0.25">
      <c r="A10" s="6">
        <f t="shared" si="0"/>
        <v>8</v>
      </c>
      <c r="B10" s="6" t="s">
        <v>77</v>
      </c>
      <c r="C10" s="6" t="s">
        <v>33</v>
      </c>
      <c r="D10" s="6" t="s">
        <v>78</v>
      </c>
      <c r="E10" s="6" t="s">
        <v>79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1" x14ac:dyDescent="0.25">
      <c r="A11" s="5">
        <f t="shared" si="0"/>
        <v>9</v>
      </c>
      <c r="B11" s="5" t="s">
        <v>80</v>
      </c>
      <c r="C11" s="5" t="s">
        <v>33</v>
      </c>
      <c r="D11" s="5" t="s">
        <v>82</v>
      </c>
      <c r="E11" s="5" t="s">
        <v>35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5" x14ac:dyDescent="0.25">
      <c r="A12" s="6">
        <f t="shared" si="0"/>
        <v>10</v>
      </c>
      <c r="B12" s="6" t="s">
        <v>89</v>
      </c>
      <c r="C12" s="6" t="s">
        <v>90</v>
      </c>
      <c r="D12" s="6" t="s">
        <v>92</v>
      </c>
      <c r="E12" s="6" t="s">
        <v>35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5" x14ac:dyDescent="0.25">
      <c r="A13" s="5">
        <f t="shared" si="0"/>
        <v>11</v>
      </c>
      <c r="B13" s="5" t="s">
        <v>96</v>
      </c>
      <c r="C13" s="5" t="s">
        <v>90</v>
      </c>
      <c r="D13" s="5" t="s">
        <v>98</v>
      </c>
      <c r="E13" s="5" t="s">
        <v>35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5" x14ac:dyDescent="0.25">
      <c r="A14" s="6">
        <f t="shared" si="0"/>
        <v>12</v>
      </c>
      <c r="B14" s="6" t="s">
        <v>104</v>
      </c>
      <c r="C14" s="6" t="s">
        <v>90</v>
      </c>
      <c r="D14" s="6" t="s">
        <v>106</v>
      </c>
      <c r="E14" s="6" t="s">
        <v>35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5" x14ac:dyDescent="0.25">
      <c r="A15" s="5">
        <f t="shared" si="0"/>
        <v>13</v>
      </c>
      <c r="B15" s="5" t="s">
        <v>107</v>
      </c>
      <c r="C15" s="5" t="s">
        <v>90</v>
      </c>
      <c r="D15" s="5" t="s">
        <v>108</v>
      </c>
      <c r="E15" s="5" t="s">
        <v>35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5" x14ac:dyDescent="0.25">
      <c r="A16" s="6">
        <f t="shared" si="0"/>
        <v>14</v>
      </c>
      <c r="B16" s="6" t="s">
        <v>112</v>
      </c>
      <c r="C16" s="6" t="s">
        <v>114</v>
      </c>
      <c r="D16" s="6" t="s">
        <v>116</v>
      </c>
      <c r="E16" s="6" t="s">
        <v>79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1" x14ac:dyDescent="0.25">
      <c r="A17" s="5">
        <f t="shared" si="0"/>
        <v>15</v>
      </c>
      <c r="B17" s="5" t="s">
        <v>118</v>
      </c>
      <c r="C17" s="5" t="s">
        <v>114</v>
      </c>
      <c r="D17" s="5" t="s">
        <v>120</v>
      </c>
      <c r="E17" s="5" t="s">
        <v>79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5" x14ac:dyDescent="0.25">
      <c r="A18" s="6">
        <f t="shared" si="0"/>
        <v>16</v>
      </c>
      <c r="B18" s="6" t="s">
        <v>125</v>
      </c>
      <c r="C18" s="6" t="s">
        <v>114</v>
      </c>
      <c r="D18" s="6" t="s">
        <v>126</v>
      </c>
      <c r="E18" s="6" t="s">
        <v>79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1" x14ac:dyDescent="0.25">
      <c r="A19" s="5">
        <f t="shared" si="0"/>
        <v>17</v>
      </c>
      <c r="B19" s="5" t="s">
        <v>131</v>
      </c>
      <c r="C19" s="5" t="s">
        <v>114</v>
      </c>
      <c r="D19" s="5" t="s">
        <v>132</v>
      </c>
      <c r="E19" s="5" t="s">
        <v>79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A2"/>
    <mergeCell ref="B1:B2"/>
    <mergeCell ref="C1:C2"/>
    <mergeCell ref="D1:D2"/>
    <mergeCell ref="E1:E2"/>
  </mergeCells>
  <dataValidations count="1">
    <dataValidation type="list" allowBlank="1" showErrorMessage="1" sqref="E3:E19" xr:uid="{00000000-0002-0000-0100-000000000000}">
      <formula1>"High,Medium,Low"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zoomScale="61" workbookViewId="0">
      <pane xSplit="5" ySplit="2" topLeftCell="F22" activePane="bottomRight" state="frozen"/>
      <selection pane="topRight" activeCell="F1" sqref="F1"/>
      <selection pane="bottomLeft" activeCell="A3" sqref="A3"/>
      <selection pane="bottomRight" activeCell="D22" sqref="D22"/>
    </sheetView>
  </sheetViews>
  <sheetFormatPr defaultColWidth="12.6328125" defaultRowHeight="15.75" customHeight="1" x14ac:dyDescent="0.25"/>
  <cols>
    <col min="1" max="1" width="7.08984375" customWidth="1"/>
    <col min="2" max="2" width="32" customWidth="1"/>
    <col min="3" max="3" width="17" customWidth="1"/>
    <col min="4" max="4" width="20.90625" customWidth="1"/>
    <col min="5" max="5" width="43.90625" customWidth="1"/>
    <col min="6" max="6" width="42.26953125" customWidth="1"/>
    <col min="7" max="7" width="55" customWidth="1"/>
    <col min="8" max="8" width="40.36328125" customWidth="1"/>
    <col min="9" max="9" width="55.36328125" customWidth="1"/>
  </cols>
  <sheetData>
    <row r="1" spans="1:26" ht="15.5" x14ac:dyDescent="0.25">
      <c r="A1" s="15" t="s">
        <v>2</v>
      </c>
      <c r="B1" s="15" t="s">
        <v>4</v>
      </c>
      <c r="C1" s="15" t="s">
        <v>5</v>
      </c>
      <c r="D1" s="15" t="s">
        <v>7</v>
      </c>
      <c r="E1" s="15" t="s">
        <v>8</v>
      </c>
      <c r="F1" s="15" t="s">
        <v>10</v>
      </c>
      <c r="G1" s="15" t="s">
        <v>11</v>
      </c>
      <c r="H1" s="15" t="s">
        <v>12</v>
      </c>
      <c r="I1" s="15" t="s">
        <v>14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5" x14ac:dyDescent="0.25">
      <c r="A2" s="10"/>
      <c r="B2" s="10"/>
      <c r="C2" s="10"/>
      <c r="D2" s="10"/>
      <c r="E2" s="10"/>
      <c r="F2" s="10"/>
      <c r="G2" s="10"/>
      <c r="H2" s="10"/>
      <c r="I2" s="10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3" x14ac:dyDescent="0.25">
      <c r="A3" s="5">
        <f t="shared" ref="A3:A31" si="0">ROW()-2</f>
        <v>1</v>
      </c>
      <c r="B3" s="9" t="s">
        <v>32</v>
      </c>
      <c r="C3" s="5" t="s">
        <v>38</v>
      </c>
      <c r="D3" s="5" t="s">
        <v>40</v>
      </c>
      <c r="E3" s="5" t="s">
        <v>41</v>
      </c>
      <c r="F3" s="5" t="s">
        <v>42</v>
      </c>
      <c r="G3" s="5" t="s">
        <v>44</v>
      </c>
      <c r="H3" s="5" t="s">
        <v>45</v>
      </c>
      <c r="I3" s="5" t="s">
        <v>46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3" x14ac:dyDescent="0.25">
      <c r="A4" s="6">
        <f t="shared" si="0"/>
        <v>2</v>
      </c>
      <c r="B4" s="11"/>
      <c r="C4" s="6" t="s">
        <v>51</v>
      </c>
      <c r="D4" s="6" t="s">
        <v>53</v>
      </c>
      <c r="E4" s="6" t="s">
        <v>54</v>
      </c>
      <c r="F4" s="6" t="s">
        <v>42</v>
      </c>
      <c r="G4" s="6" t="s">
        <v>55</v>
      </c>
      <c r="H4" s="6" t="s">
        <v>56</v>
      </c>
      <c r="I4" s="6" t="s">
        <v>57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3" x14ac:dyDescent="0.25">
      <c r="A5" s="5">
        <f t="shared" si="0"/>
        <v>3</v>
      </c>
      <c r="B5" s="12"/>
      <c r="C5" s="5" t="s">
        <v>65</v>
      </c>
      <c r="D5" s="5" t="s">
        <v>53</v>
      </c>
      <c r="E5" s="5" t="s">
        <v>67</v>
      </c>
      <c r="F5" s="5" t="s">
        <v>42</v>
      </c>
      <c r="G5" s="5" t="s">
        <v>70</v>
      </c>
      <c r="H5" s="5" t="s">
        <v>71</v>
      </c>
      <c r="I5" s="5" t="s">
        <v>74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7.5" x14ac:dyDescent="0.25">
      <c r="A6" s="6">
        <f t="shared" si="0"/>
        <v>4</v>
      </c>
      <c r="B6" s="13" t="s">
        <v>76</v>
      </c>
      <c r="C6" s="6" t="s">
        <v>81</v>
      </c>
      <c r="D6" s="6" t="s">
        <v>40</v>
      </c>
      <c r="E6" s="6" t="s">
        <v>83</v>
      </c>
      <c r="F6" s="6" t="s">
        <v>84</v>
      </c>
      <c r="G6" s="6" t="s">
        <v>85</v>
      </c>
      <c r="H6" s="6" t="s">
        <v>86</v>
      </c>
      <c r="I6" s="6" t="s">
        <v>87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7.5" x14ac:dyDescent="0.25">
      <c r="A7" s="5">
        <f t="shared" si="0"/>
        <v>5</v>
      </c>
      <c r="B7" s="12"/>
      <c r="C7" s="5" t="s">
        <v>88</v>
      </c>
      <c r="D7" s="5" t="s">
        <v>53</v>
      </c>
      <c r="E7" s="5" t="s">
        <v>91</v>
      </c>
      <c r="F7" s="5" t="s">
        <v>84</v>
      </c>
      <c r="G7" s="5" t="s">
        <v>93</v>
      </c>
      <c r="H7" s="5" t="s">
        <v>94</v>
      </c>
      <c r="I7" s="5" t="s">
        <v>95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77.5" x14ac:dyDescent="0.25">
      <c r="A8" s="6">
        <f t="shared" si="0"/>
        <v>6</v>
      </c>
      <c r="B8" s="13" t="s">
        <v>97</v>
      </c>
      <c r="C8" s="6" t="s">
        <v>99</v>
      </c>
      <c r="D8" s="6" t="s">
        <v>40</v>
      </c>
      <c r="E8" s="6" t="s">
        <v>100</v>
      </c>
      <c r="F8" s="6" t="s">
        <v>101</v>
      </c>
      <c r="G8" s="6" t="s">
        <v>102</v>
      </c>
      <c r="H8" s="6" t="s">
        <v>103</v>
      </c>
      <c r="I8" s="6" t="s">
        <v>105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7.5" x14ac:dyDescent="0.25">
      <c r="A9" s="5">
        <f t="shared" si="0"/>
        <v>7</v>
      </c>
      <c r="B9" s="14"/>
      <c r="C9" s="5" t="s">
        <v>109</v>
      </c>
      <c r="D9" s="5" t="s">
        <v>110</v>
      </c>
      <c r="E9" s="5" t="s">
        <v>111</v>
      </c>
      <c r="F9" s="5" t="s">
        <v>101</v>
      </c>
      <c r="G9" s="5" t="s">
        <v>113</v>
      </c>
      <c r="H9" s="5" t="s">
        <v>115</v>
      </c>
      <c r="I9" s="5" t="s">
        <v>117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7.5" x14ac:dyDescent="0.25">
      <c r="A10" s="6">
        <f t="shared" si="0"/>
        <v>8</v>
      </c>
      <c r="B10" s="10"/>
      <c r="C10" s="6" t="s">
        <v>119</v>
      </c>
      <c r="D10" s="6" t="s">
        <v>53</v>
      </c>
      <c r="E10" s="6" t="s">
        <v>121</v>
      </c>
      <c r="F10" s="6" t="s">
        <v>101</v>
      </c>
      <c r="G10" s="6" t="s">
        <v>122</v>
      </c>
      <c r="H10" s="6" t="s">
        <v>123</v>
      </c>
      <c r="I10" s="6" t="s">
        <v>124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7.5" x14ac:dyDescent="0.25">
      <c r="A11" s="5">
        <f t="shared" si="0"/>
        <v>9</v>
      </c>
      <c r="B11" s="5" t="s">
        <v>127</v>
      </c>
      <c r="C11" s="5" t="s">
        <v>128</v>
      </c>
      <c r="D11" s="5" t="s">
        <v>40</v>
      </c>
      <c r="E11" s="5" t="s">
        <v>129</v>
      </c>
      <c r="F11" s="5" t="s">
        <v>101</v>
      </c>
      <c r="G11" s="5" t="s">
        <v>44</v>
      </c>
      <c r="H11" s="5" t="s">
        <v>45</v>
      </c>
      <c r="I11" s="5" t="s">
        <v>130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93" x14ac:dyDescent="0.25">
      <c r="A12" s="6">
        <f t="shared" si="0"/>
        <v>10</v>
      </c>
      <c r="B12" s="6" t="s">
        <v>133</v>
      </c>
      <c r="C12" s="6" t="s">
        <v>134</v>
      </c>
      <c r="D12" s="6" t="s">
        <v>53</v>
      </c>
      <c r="E12" s="6" t="s">
        <v>135</v>
      </c>
      <c r="F12" s="6" t="s">
        <v>136</v>
      </c>
      <c r="G12" s="6" t="s">
        <v>137</v>
      </c>
      <c r="H12" s="6" t="s">
        <v>138</v>
      </c>
      <c r="I12" s="6" t="s">
        <v>139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77.5" x14ac:dyDescent="0.25">
      <c r="A13" s="5">
        <f t="shared" si="0"/>
        <v>11</v>
      </c>
      <c r="B13" s="9" t="s">
        <v>140</v>
      </c>
      <c r="C13" s="5" t="s">
        <v>141</v>
      </c>
      <c r="D13" s="5" t="s">
        <v>40</v>
      </c>
      <c r="E13" s="5" t="s">
        <v>142</v>
      </c>
      <c r="F13" s="5" t="s">
        <v>143</v>
      </c>
      <c r="G13" s="5" t="s">
        <v>144</v>
      </c>
      <c r="H13" s="5" t="s">
        <v>145</v>
      </c>
      <c r="I13" s="5" t="s">
        <v>146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77.5" x14ac:dyDescent="0.25">
      <c r="A14" s="6">
        <f t="shared" si="0"/>
        <v>12</v>
      </c>
      <c r="B14" s="10"/>
      <c r="C14" s="6" t="s">
        <v>147</v>
      </c>
      <c r="D14" s="6" t="s">
        <v>53</v>
      </c>
      <c r="E14" s="6" t="s">
        <v>148</v>
      </c>
      <c r="F14" s="6" t="s">
        <v>143</v>
      </c>
      <c r="G14" s="6" t="s">
        <v>149</v>
      </c>
      <c r="H14" s="6" t="s">
        <v>150</v>
      </c>
      <c r="I14" s="6" t="s">
        <v>151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93" x14ac:dyDescent="0.25">
      <c r="A15" s="5">
        <f t="shared" si="0"/>
        <v>13</v>
      </c>
      <c r="B15" s="9" t="s">
        <v>152</v>
      </c>
      <c r="C15" s="5" t="s">
        <v>153</v>
      </c>
      <c r="D15" s="5" t="s">
        <v>40</v>
      </c>
      <c r="E15" s="5" t="s">
        <v>154</v>
      </c>
      <c r="F15" s="5" t="s">
        <v>155</v>
      </c>
      <c r="G15" s="5" t="s">
        <v>156</v>
      </c>
      <c r="H15" s="5" t="s">
        <v>157</v>
      </c>
      <c r="I15" s="5" t="s">
        <v>158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2" x14ac:dyDescent="0.25">
      <c r="A16" s="6">
        <f t="shared" si="0"/>
        <v>14</v>
      </c>
      <c r="B16" s="10"/>
      <c r="C16" s="6" t="s">
        <v>159</v>
      </c>
      <c r="D16" s="6" t="s">
        <v>53</v>
      </c>
      <c r="E16" s="6" t="s">
        <v>160</v>
      </c>
      <c r="F16" s="6" t="s">
        <v>161</v>
      </c>
      <c r="G16" s="6" t="s">
        <v>162</v>
      </c>
      <c r="H16" s="6" t="s">
        <v>163</v>
      </c>
      <c r="I16" s="6" t="s">
        <v>164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77.5" x14ac:dyDescent="0.25">
      <c r="A17" s="5">
        <f t="shared" si="0"/>
        <v>15</v>
      </c>
      <c r="B17" s="9" t="s">
        <v>165</v>
      </c>
      <c r="C17" s="5" t="s">
        <v>166</v>
      </c>
      <c r="D17" s="5" t="s">
        <v>40</v>
      </c>
      <c r="E17" s="5" t="s">
        <v>167</v>
      </c>
      <c r="F17" s="5" t="s">
        <v>168</v>
      </c>
      <c r="G17" s="5" t="s">
        <v>169</v>
      </c>
      <c r="H17" s="5" t="s">
        <v>170</v>
      </c>
      <c r="I17" s="5" t="s">
        <v>171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93" x14ac:dyDescent="0.25">
      <c r="A18" s="6">
        <f t="shared" si="0"/>
        <v>16</v>
      </c>
      <c r="B18" s="10"/>
      <c r="C18" s="6" t="s">
        <v>172</v>
      </c>
      <c r="D18" s="6" t="s">
        <v>40</v>
      </c>
      <c r="E18" s="6" t="s">
        <v>173</v>
      </c>
      <c r="F18" s="6" t="s">
        <v>174</v>
      </c>
      <c r="G18" s="6" t="s">
        <v>175</v>
      </c>
      <c r="H18" s="6" t="s">
        <v>176</v>
      </c>
      <c r="I18" s="6" t="s">
        <v>177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77.5" x14ac:dyDescent="0.25">
      <c r="A19" s="5">
        <f t="shared" si="0"/>
        <v>17</v>
      </c>
      <c r="B19" s="9" t="s">
        <v>178</v>
      </c>
      <c r="C19" s="5" t="s">
        <v>179</v>
      </c>
      <c r="D19" s="5" t="s">
        <v>40</v>
      </c>
      <c r="E19" s="5" t="s">
        <v>180</v>
      </c>
      <c r="F19" s="5" t="s">
        <v>181</v>
      </c>
      <c r="G19" s="5" t="s">
        <v>182</v>
      </c>
      <c r="H19" s="7" t="s">
        <v>183</v>
      </c>
      <c r="I19" s="5" t="s">
        <v>184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77.5" x14ac:dyDescent="0.25">
      <c r="A20" s="6">
        <f t="shared" si="0"/>
        <v>18</v>
      </c>
      <c r="B20" s="10"/>
      <c r="C20" s="6" t="s">
        <v>185</v>
      </c>
      <c r="D20" s="6" t="s">
        <v>53</v>
      </c>
      <c r="E20" s="6" t="s">
        <v>186</v>
      </c>
      <c r="F20" s="6" t="s">
        <v>181</v>
      </c>
      <c r="G20" s="6" t="s">
        <v>182</v>
      </c>
      <c r="H20" s="6" t="s">
        <v>187</v>
      </c>
      <c r="I20" s="6" t="s">
        <v>188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62" x14ac:dyDescent="0.25">
      <c r="A21" s="5">
        <f t="shared" si="0"/>
        <v>19</v>
      </c>
      <c r="B21" s="9" t="s">
        <v>189</v>
      </c>
      <c r="C21" s="5" t="s">
        <v>190</v>
      </c>
      <c r="D21" s="5" t="s">
        <v>40</v>
      </c>
      <c r="E21" s="5" t="s">
        <v>191</v>
      </c>
      <c r="F21" s="5" t="s">
        <v>192</v>
      </c>
      <c r="G21" s="5" t="s">
        <v>193</v>
      </c>
      <c r="H21" s="5" t="s">
        <v>194</v>
      </c>
      <c r="I21" s="5" t="s">
        <v>195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6.5" x14ac:dyDescent="0.25">
      <c r="A22" s="6">
        <f t="shared" si="0"/>
        <v>20</v>
      </c>
      <c r="B22" s="10"/>
      <c r="C22" s="6" t="s">
        <v>196</v>
      </c>
      <c r="D22" s="6" t="s">
        <v>53</v>
      </c>
      <c r="E22" s="6" t="s">
        <v>197</v>
      </c>
      <c r="F22" s="6" t="s">
        <v>198</v>
      </c>
      <c r="G22" s="6" t="s">
        <v>199</v>
      </c>
      <c r="H22" s="6" t="s">
        <v>200</v>
      </c>
      <c r="I22" s="6" t="s">
        <v>201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62" x14ac:dyDescent="0.25">
      <c r="A23" s="5">
        <f t="shared" si="0"/>
        <v>21</v>
      </c>
      <c r="B23" s="9" t="s">
        <v>202</v>
      </c>
      <c r="C23" s="5" t="s">
        <v>203</v>
      </c>
      <c r="D23" s="5" t="s">
        <v>40</v>
      </c>
      <c r="E23" s="5" t="s">
        <v>204</v>
      </c>
      <c r="F23" s="5" t="s">
        <v>205</v>
      </c>
      <c r="G23" s="5" t="s">
        <v>206</v>
      </c>
      <c r="H23" s="5" t="s">
        <v>194</v>
      </c>
      <c r="I23" s="5" t="s">
        <v>207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46.5" x14ac:dyDescent="0.25">
      <c r="A24" s="6">
        <f t="shared" si="0"/>
        <v>22</v>
      </c>
      <c r="B24" s="10"/>
      <c r="C24" s="6" t="s">
        <v>208</v>
      </c>
      <c r="D24" s="6" t="s">
        <v>53</v>
      </c>
      <c r="E24" s="6" t="s">
        <v>209</v>
      </c>
      <c r="F24" s="6" t="s">
        <v>210</v>
      </c>
      <c r="G24" s="6" t="s">
        <v>211</v>
      </c>
      <c r="H24" s="6" t="s">
        <v>200</v>
      </c>
      <c r="I24" s="6" t="s">
        <v>212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46.5" x14ac:dyDescent="0.25">
      <c r="A25" s="5">
        <f t="shared" si="0"/>
        <v>23</v>
      </c>
      <c r="B25" s="9" t="s">
        <v>213</v>
      </c>
      <c r="C25" s="5" t="s">
        <v>214</v>
      </c>
      <c r="D25" s="5" t="s">
        <v>40</v>
      </c>
      <c r="E25" s="5" t="s">
        <v>215</v>
      </c>
      <c r="F25" s="5" t="s">
        <v>216</v>
      </c>
      <c r="G25" s="5" t="s">
        <v>217</v>
      </c>
      <c r="H25" s="5" t="s">
        <v>218</v>
      </c>
      <c r="I25" s="5" t="s">
        <v>219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6.5" x14ac:dyDescent="0.25">
      <c r="A26" s="6">
        <f t="shared" si="0"/>
        <v>24</v>
      </c>
      <c r="B26" s="11"/>
      <c r="C26" s="6" t="s">
        <v>220</v>
      </c>
      <c r="D26" s="6" t="s">
        <v>110</v>
      </c>
      <c r="E26" s="6" t="s">
        <v>221</v>
      </c>
      <c r="F26" s="6" t="s">
        <v>222</v>
      </c>
      <c r="G26" s="6" t="s">
        <v>217</v>
      </c>
      <c r="H26" s="6" t="s">
        <v>223</v>
      </c>
      <c r="I26" s="6" t="s">
        <v>224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46.5" x14ac:dyDescent="0.25">
      <c r="A27" s="5">
        <f t="shared" si="0"/>
        <v>25</v>
      </c>
      <c r="B27" s="12"/>
      <c r="C27" s="5" t="s">
        <v>225</v>
      </c>
      <c r="D27" s="5" t="s">
        <v>53</v>
      </c>
      <c r="E27" s="5" t="s">
        <v>226</v>
      </c>
      <c r="F27" s="5" t="s">
        <v>222</v>
      </c>
      <c r="G27" s="5" t="s">
        <v>227</v>
      </c>
      <c r="H27" s="5" t="s">
        <v>228</v>
      </c>
      <c r="I27" s="5" t="s">
        <v>229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6.5" x14ac:dyDescent="0.25">
      <c r="A28" s="6">
        <f t="shared" si="0"/>
        <v>26</v>
      </c>
      <c r="B28" s="6" t="s">
        <v>230</v>
      </c>
      <c r="C28" s="6" t="s">
        <v>231</v>
      </c>
      <c r="D28" s="6" t="s">
        <v>40</v>
      </c>
      <c r="E28" s="6" t="s">
        <v>232</v>
      </c>
      <c r="F28" s="6" t="s">
        <v>233</v>
      </c>
      <c r="G28" s="6" t="s">
        <v>234</v>
      </c>
      <c r="H28" s="6" t="s">
        <v>235</v>
      </c>
      <c r="I28" s="6" t="s">
        <v>236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46.5" x14ac:dyDescent="0.25">
      <c r="A29" s="5">
        <f t="shared" si="0"/>
        <v>27</v>
      </c>
      <c r="B29" s="5" t="s">
        <v>237</v>
      </c>
      <c r="C29" s="5" t="s">
        <v>238</v>
      </c>
      <c r="D29" s="5" t="s">
        <v>40</v>
      </c>
      <c r="E29" s="5" t="s">
        <v>239</v>
      </c>
      <c r="F29" s="5" t="s">
        <v>233</v>
      </c>
      <c r="G29" s="5" t="s">
        <v>240</v>
      </c>
      <c r="H29" s="5" t="s">
        <v>241</v>
      </c>
      <c r="I29" s="5" t="s">
        <v>242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46.5" x14ac:dyDescent="0.25">
      <c r="A30" s="6">
        <f t="shared" si="0"/>
        <v>28</v>
      </c>
      <c r="B30" s="6" t="s">
        <v>243</v>
      </c>
      <c r="C30" s="6" t="s">
        <v>244</v>
      </c>
      <c r="D30" s="6" t="s">
        <v>40</v>
      </c>
      <c r="E30" s="6" t="s">
        <v>243</v>
      </c>
      <c r="F30" s="6" t="s">
        <v>245</v>
      </c>
      <c r="G30" s="6" t="s">
        <v>246</v>
      </c>
      <c r="H30" s="6" t="s">
        <v>247</v>
      </c>
      <c r="I30" s="6" t="s">
        <v>248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2" x14ac:dyDescent="0.25">
      <c r="A31" s="5">
        <f t="shared" si="0"/>
        <v>29</v>
      </c>
      <c r="B31" s="5" t="s">
        <v>249</v>
      </c>
      <c r="C31" s="5" t="s">
        <v>250</v>
      </c>
      <c r="D31" s="5" t="s">
        <v>40</v>
      </c>
      <c r="E31" s="5" t="s">
        <v>251</v>
      </c>
      <c r="F31" s="5" t="s">
        <v>252</v>
      </c>
      <c r="G31" s="5" t="s">
        <v>253</v>
      </c>
      <c r="H31" s="5" t="s">
        <v>254</v>
      </c>
      <c r="I31" s="5" t="s">
        <v>255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5" x14ac:dyDescent="0.25">
      <c r="A32" s="8"/>
      <c r="B32" s="8"/>
      <c r="C32" s="8"/>
      <c r="D32" s="8"/>
      <c r="E32" s="8"/>
      <c r="F32" s="8"/>
      <c r="G32" s="8"/>
      <c r="H32" s="8"/>
      <c r="I32" s="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5" x14ac:dyDescent="0.25">
      <c r="A33" s="8"/>
      <c r="B33" s="8"/>
      <c r="C33" s="8"/>
      <c r="D33" s="8"/>
      <c r="E33" s="8"/>
      <c r="F33" s="8"/>
      <c r="G33" s="8"/>
      <c r="H33" s="8"/>
      <c r="I33" s="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5" x14ac:dyDescent="0.25">
      <c r="A34" s="8"/>
      <c r="B34" s="8"/>
      <c r="C34" s="8"/>
      <c r="D34" s="8"/>
      <c r="E34" s="8"/>
      <c r="F34" s="8"/>
      <c r="G34" s="8"/>
      <c r="H34" s="8"/>
      <c r="I34" s="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5" x14ac:dyDescent="0.25">
      <c r="A35" s="8"/>
      <c r="B35" s="8"/>
      <c r="C35" s="8"/>
      <c r="D35" s="8"/>
      <c r="E35" s="8"/>
      <c r="F35" s="8"/>
      <c r="G35" s="8"/>
      <c r="H35" s="8"/>
      <c r="I35" s="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5" x14ac:dyDescent="0.25">
      <c r="A36" s="8"/>
      <c r="B36" s="8"/>
      <c r="C36" s="8"/>
      <c r="D36" s="8"/>
      <c r="E36" s="8"/>
      <c r="F36" s="8"/>
      <c r="G36" s="8"/>
      <c r="H36" s="8"/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5" x14ac:dyDescent="0.25">
      <c r="A37" s="8"/>
      <c r="B37" s="8"/>
      <c r="C37" s="8"/>
      <c r="D37" s="8"/>
      <c r="E37" s="8"/>
      <c r="F37" s="8"/>
      <c r="G37" s="8"/>
      <c r="H37" s="8"/>
      <c r="I37" s="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5" x14ac:dyDescent="0.25">
      <c r="A38" s="8"/>
      <c r="B38" s="8"/>
      <c r="C38" s="8"/>
      <c r="D38" s="8"/>
      <c r="E38" s="8"/>
      <c r="F38" s="8"/>
      <c r="G38" s="8"/>
      <c r="H38" s="8"/>
      <c r="I38" s="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5" x14ac:dyDescent="0.25">
      <c r="A39" s="8"/>
      <c r="B39" s="8"/>
      <c r="C39" s="8"/>
      <c r="D39" s="8"/>
      <c r="E39" s="8"/>
      <c r="F39" s="8"/>
      <c r="G39" s="8"/>
      <c r="H39" s="8"/>
      <c r="I39" s="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5" x14ac:dyDescent="0.25">
      <c r="A40" s="8"/>
      <c r="B40" s="8"/>
      <c r="C40" s="8"/>
      <c r="D40" s="8"/>
      <c r="E40" s="8"/>
      <c r="F40" s="8"/>
      <c r="G40" s="8"/>
      <c r="H40" s="8"/>
      <c r="I40" s="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5" x14ac:dyDescent="0.25">
      <c r="A41" s="8"/>
      <c r="B41" s="8"/>
      <c r="C41" s="8"/>
      <c r="D41" s="8"/>
      <c r="E41" s="8"/>
      <c r="F41" s="8"/>
      <c r="G41" s="8"/>
      <c r="H41" s="8"/>
      <c r="I41" s="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5" x14ac:dyDescent="0.25">
      <c r="A42" s="8"/>
      <c r="B42" s="8"/>
      <c r="C42" s="8"/>
      <c r="D42" s="8"/>
      <c r="E42" s="8"/>
      <c r="F42" s="8"/>
      <c r="G42" s="8"/>
      <c r="H42" s="8"/>
      <c r="I42" s="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5" x14ac:dyDescent="0.25">
      <c r="A43" s="8"/>
      <c r="B43" s="8"/>
      <c r="C43" s="8"/>
      <c r="D43" s="8"/>
      <c r="E43" s="8"/>
      <c r="F43" s="8"/>
      <c r="G43" s="8"/>
      <c r="H43" s="8"/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5" x14ac:dyDescent="0.25">
      <c r="A44" s="8"/>
      <c r="B44" s="8"/>
      <c r="C44" s="8"/>
      <c r="D44" s="8"/>
      <c r="E44" s="8"/>
      <c r="F44" s="8"/>
      <c r="G44" s="8"/>
      <c r="H44" s="8"/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5" x14ac:dyDescent="0.25">
      <c r="A45" s="8"/>
      <c r="B45" s="8"/>
      <c r="C45" s="8"/>
      <c r="D45" s="8"/>
      <c r="E45" s="8"/>
      <c r="F45" s="8"/>
      <c r="G45" s="8"/>
      <c r="H45" s="8"/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5" x14ac:dyDescent="0.25">
      <c r="A46" s="8"/>
      <c r="B46" s="8"/>
      <c r="C46" s="8"/>
      <c r="D46" s="8"/>
      <c r="E46" s="8"/>
      <c r="F46" s="8"/>
      <c r="G46" s="8"/>
      <c r="H46" s="8"/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5" x14ac:dyDescent="0.25">
      <c r="A47" s="8"/>
      <c r="B47" s="8"/>
      <c r="C47" s="8"/>
      <c r="D47" s="8"/>
      <c r="E47" s="8"/>
      <c r="F47" s="8"/>
      <c r="G47" s="8"/>
      <c r="H47" s="8"/>
      <c r="I47" s="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5" x14ac:dyDescent="0.25">
      <c r="A48" s="8"/>
      <c r="B48" s="8"/>
      <c r="C48" s="8"/>
      <c r="D48" s="8"/>
      <c r="E48" s="8"/>
      <c r="F48" s="8"/>
      <c r="G48" s="8"/>
      <c r="H48" s="8"/>
      <c r="I48" s="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5" x14ac:dyDescent="0.25">
      <c r="A49" s="8"/>
      <c r="B49" s="8"/>
      <c r="C49" s="8"/>
      <c r="D49" s="8"/>
      <c r="E49" s="8"/>
      <c r="F49" s="8"/>
      <c r="G49" s="8"/>
      <c r="H49" s="8"/>
      <c r="I49" s="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5" x14ac:dyDescent="0.25">
      <c r="A50" s="8"/>
      <c r="B50" s="8"/>
      <c r="C50" s="8"/>
      <c r="D50" s="8"/>
      <c r="E50" s="8"/>
      <c r="F50" s="8"/>
      <c r="G50" s="8"/>
      <c r="H50" s="8"/>
      <c r="I50" s="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5" x14ac:dyDescent="0.25">
      <c r="A51" s="8"/>
      <c r="B51" s="8"/>
      <c r="C51" s="8"/>
      <c r="D51" s="8"/>
      <c r="E51" s="8"/>
      <c r="F51" s="8"/>
      <c r="G51" s="8"/>
      <c r="H51" s="8"/>
      <c r="I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5" x14ac:dyDescent="0.25">
      <c r="A52" s="8"/>
      <c r="B52" s="8"/>
      <c r="C52" s="8"/>
      <c r="D52" s="8"/>
      <c r="E52" s="8"/>
      <c r="F52" s="8"/>
      <c r="G52" s="8"/>
      <c r="H52" s="8"/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5" x14ac:dyDescent="0.25">
      <c r="A53" s="8"/>
      <c r="B53" s="8"/>
      <c r="C53" s="8"/>
      <c r="D53" s="8"/>
      <c r="E53" s="8"/>
      <c r="F53" s="8"/>
      <c r="G53" s="8"/>
      <c r="H53" s="8"/>
      <c r="I53" s="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5" x14ac:dyDescent="0.25">
      <c r="A54" s="8"/>
      <c r="B54" s="8"/>
      <c r="C54" s="8"/>
      <c r="D54" s="8"/>
      <c r="E54" s="8"/>
      <c r="F54" s="8"/>
      <c r="G54" s="8"/>
      <c r="H54" s="8"/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5" x14ac:dyDescent="0.25">
      <c r="A55" s="8"/>
      <c r="B55" s="8"/>
      <c r="C55" s="8"/>
      <c r="D55" s="8"/>
      <c r="E55" s="8"/>
      <c r="F55" s="8"/>
      <c r="G55" s="8"/>
      <c r="H55" s="8"/>
      <c r="I55" s="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5" x14ac:dyDescent="0.25">
      <c r="A56" s="8"/>
      <c r="B56" s="8"/>
      <c r="C56" s="8"/>
      <c r="D56" s="8"/>
      <c r="E56" s="8"/>
      <c r="F56" s="8"/>
      <c r="G56" s="8"/>
      <c r="H56" s="8"/>
      <c r="I56" s="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5" x14ac:dyDescent="0.25">
      <c r="A57" s="8"/>
      <c r="B57" s="8"/>
      <c r="C57" s="8"/>
      <c r="D57" s="8"/>
      <c r="E57" s="8"/>
      <c r="F57" s="8"/>
      <c r="G57" s="8"/>
      <c r="H57" s="8"/>
      <c r="I57" s="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5" x14ac:dyDescent="0.25">
      <c r="A58" s="8"/>
      <c r="B58" s="8"/>
      <c r="C58" s="8"/>
      <c r="D58" s="8"/>
      <c r="E58" s="8"/>
      <c r="F58" s="8"/>
      <c r="G58" s="8"/>
      <c r="H58" s="8"/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5" x14ac:dyDescent="0.25">
      <c r="A59" s="8"/>
      <c r="B59" s="8"/>
      <c r="C59" s="8"/>
      <c r="D59" s="8"/>
      <c r="E59" s="8"/>
      <c r="F59" s="8"/>
      <c r="G59" s="8"/>
      <c r="H59" s="8"/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5" x14ac:dyDescent="0.25">
      <c r="A62" s="8"/>
      <c r="B62" s="8"/>
      <c r="C62" s="8"/>
      <c r="D62" s="8"/>
      <c r="E62" s="8"/>
      <c r="F62" s="8"/>
      <c r="G62" s="8"/>
      <c r="H62" s="8"/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5" x14ac:dyDescent="0.25">
      <c r="A63" s="8"/>
      <c r="B63" s="8"/>
      <c r="C63" s="8"/>
      <c r="D63" s="8"/>
      <c r="E63" s="8"/>
      <c r="F63" s="8"/>
      <c r="G63" s="8"/>
      <c r="H63" s="8"/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5" x14ac:dyDescent="0.25">
      <c r="A64" s="8"/>
      <c r="B64" s="8"/>
      <c r="C64" s="8"/>
      <c r="D64" s="8"/>
      <c r="E64" s="8"/>
      <c r="F64" s="8"/>
      <c r="G64" s="8"/>
      <c r="H64" s="8"/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5" x14ac:dyDescent="0.25">
      <c r="A65" s="8"/>
      <c r="B65" s="8"/>
      <c r="C65" s="8"/>
      <c r="D65" s="8"/>
      <c r="E65" s="8"/>
      <c r="F65" s="8"/>
      <c r="G65" s="8"/>
      <c r="H65" s="8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5" x14ac:dyDescent="0.25">
      <c r="A66" s="8"/>
      <c r="B66" s="8"/>
      <c r="C66" s="8"/>
      <c r="D66" s="8"/>
      <c r="E66" s="8"/>
      <c r="F66" s="8"/>
      <c r="G66" s="8"/>
      <c r="H66" s="8"/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5" x14ac:dyDescent="0.25">
      <c r="A67" s="8"/>
      <c r="B67" s="8"/>
      <c r="C67" s="8"/>
      <c r="D67" s="8"/>
      <c r="E67" s="8"/>
      <c r="F67" s="8"/>
      <c r="G67" s="8"/>
      <c r="H67" s="8"/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5" x14ac:dyDescent="0.25">
      <c r="A68" s="8"/>
      <c r="B68" s="8"/>
      <c r="C68" s="8"/>
      <c r="D68" s="8"/>
      <c r="E68" s="8"/>
      <c r="F68" s="8"/>
      <c r="G68" s="8"/>
      <c r="H68" s="8"/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5" x14ac:dyDescent="0.25">
      <c r="A69" s="8"/>
      <c r="B69" s="8"/>
      <c r="C69" s="8"/>
      <c r="D69" s="8"/>
      <c r="E69" s="8"/>
      <c r="F69" s="8"/>
      <c r="G69" s="8"/>
      <c r="H69" s="8"/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5" x14ac:dyDescent="0.25">
      <c r="A70" s="8"/>
      <c r="B70" s="8"/>
      <c r="C70" s="8"/>
      <c r="D70" s="8"/>
      <c r="E70" s="8"/>
      <c r="F70" s="8"/>
      <c r="G70" s="8"/>
      <c r="H70" s="8"/>
      <c r="I70" s="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5" x14ac:dyDescent="0.25">
      <c r="A71" s="8"/>
      <c r="B71" s="8"/>
      <c r="C71" s="8"/>
      <c r="D71" s="8"/>
      <c r="E71" s="8"/>
      <c r="F71" s="8"/>
      <c r="G71" s="8"/>
      <c r="H71" s="8"/>
      <c r="I71" s="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5" x14ac:dyDescent="0.25">
      <c r="A72" s="8"/>
      <c r="B72" s="8"/>
      <c r="C72" s="8"/>
      <c r="D72" s="8"/>
      <c r="E72" s="8"/>
      <c r="F72" s="8"/>
      <c r="G72" s="8"/>
      <c r="H72" s="8"/>
      <c r="I72" s="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5" x14ac:dyDescent="0.25">
      <c r="A73" s="8"/>
      <c r="B73" s="8"/>
      <c r="C73" s="8"/>
      <c r="D73" s="8"/>
      <c r="E73" s="8"/>
      <c r="F73" s="8"/>
      <c r="G73" s="8"/>
      <c r="H73" s="8"/>
      <c r="I73" s="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5" x14ac:dyDescent="0.25">
      <c r="A74" s="8"/>
      <c r="B74" s="8"/>
      <c r="C74" s="8"/>
      <c r="D74" s="8"/>
      <c r="E74" s="8"/>
      <c r="F74" s="8"/>
      <c r="G74" s="8"/>
      <c r="H74" s="8"/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5" x14ac:dyDescent="0.25">
      <c r="A75" s="8"/>
      <c r="B75" s="8"/>
      <c r="C75" s="8"/>
      <c r="D75" s="8"/>
      <c r="E75" s="8"/>
      <c r="F75" s="8"/>
      <c r="G75" s="8"/>
      <c r="H75" s="8"/>
      <c r="I75" s="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5" x14ac:dyDescent="0.25">
      <c r="A76" s="8"/>
      <c r="B76" s="8"/>
      <c r="C76" s="8"/>
      <c r="D76" s="8"/>
      <c r="E76" s="8"/>
      <c r="F76" s="8"/>
      <c r="G76" s="8"/>
      <c r="H76" s="8"/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5" x14ac:dyDescent="0.25">
      <c r="A77" s="8"/>
      <c r="B77" s="8"/>
      <c r="C77" s="8"/>
      <c r="D77" s="8"/>
      <c r="E77" s="8"/>
      <c r="F77" s="8"/>
      <c r="G77" s="8"/>
      <c r="H77" s="8"/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5" x14ac:dyDescent="0.25">
      <c r="A78" s="8"/>
      <c r="B78" s="8"/>
      <c r="C78" s="8"/>
      <c r="D78" s="8"/>
      <c r="E78" s="8"/>
      <c r="F78" s="8"/>
      <c r="G78" s="8"/>
      <c r="H78" s="8"/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5" x14ac:dyDescent="0.25">
      <c r="A79" s="8"/>
      <c r="B79" s="8"/>
      <c r="C79" s="8"/>
      <c r="D79" s="8"/>
      <c r="E79" s="8"/>
      <c r="F79" s="8"/>
      <c r="G79" s="8"/>
      <c r="H79" s="8"/>
      <c r="I79" s="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5" x14ac:dyDescent="0.25">
      <c r="A80" s="8"/>
      <c r="B80" s="8"/>
      <c r="C80" s="8"/>
      <c r="D80" s="8"/>
      <c r="E80" s="8"/>
      <c r="F80" s="8"/>
      <c r="G80" s="8"/>
      <c r="H80" s="8"/>
      <c r="I80" s="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5" x14ac:dyDescent="0.25">
      <c r="A81" s="8"/>
      <c r="B81" s="8"/>
      <c r="C81" s="8"/>
      <c r="D81" s="8"/>
      <c r="E81" s="8"/>
      <c r="F81" s="8"/>
      <c r="G81" s="8"/>
      <c r="H81" s="8"/>
      <c r="I81" s="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5" x14ac:dyDescent="0.25">
      <c r="A82" s="8"/>
      <c r="B82" s="8"/>
      <c r="C82" s="8"/>
      <c r="D82" s="8"/>
      <c r="E82" s="8"/>
      <c r="F82" s="8"/>
      <c r="G82" s="8"/>
      <c r="H82" s="8"/>
      <c r="I82" s="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5" x14ac:dyDescent="0.25">
      <c r="A83" s="8"/>
      <c r="B83" s="8"/>
      <c r="C83" s="8"/>
      <c r="D83" s="8"/>
      <c r="E83" s="8"/>
      <c r="F83" s="8"/>
      <c r="G83" s="8"/>
      <c r="H83" s="8"/>
      <c r="I83" s="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5" x14ac:dyDescent="0.25">
      <c r="A84" s="8"/>
      <c r="B84" s="8"/>
      <c r="C84" s="8"/>
      <c r="D84" s="8"/>
      <c r="E84" s="8"/>
      <c r="F84" s="8"/>
      <c r="G84" s="8"/>
      <c r="H84" s="8"/>
      <c r="I84" s="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5" x14ac:dyDescent="0.25">
      <c r="A85" s="8"/>
      <c r="B85" s="8"/>
      <c r="C85" s="8"/>
      <c r="D85" s="8"/>
      <c r="E85" s="8"/>
      <c r="F85" s="8"/>
      <c r="G85" s="8"/>
      <c r="H85" s="8"/>
      <c r="I85" s="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5" x14ac:dyDescent="0.25">
      <c r="A86" s="8"/>
      <c r="B86" s="8"/>
      <c r="C86" s="8"/>
      <c r="D86" s="8"/>
      <c r="E86" s="8"/>
      <c r="F86" s="8"/>
      <c r="G86" s="8"/>
      <c r="H86" s="8"/>
      <c r="I86" s="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5" x14ac:dyDescent="0.25">
      <c r="A87" s="8"/>
      <c r="B87" s="8"/>
      <c r="C87" s="8"/>
      <c r="D87" s="8"/>
      <c r="E87" s="8"/>
      <c r="F87" s="8"/>
      <c r="G87" s="8"/>
      <c r="H87" s="8"/>
      <c r="I87" s="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5" x14ac:dyDescent="0.25">
      <c r="A88" s="8"/>
      <c r="B88" s="8"/>
      <c r="C88" s="8"/>
      <c r="D88" s="8"/>
      <c r="E88" s="8"/>
      <c r="F88" s="8"/>
      <c r="G88" s="8"/>
      <c r="H88" s="8"/>
      <c r="I88" s="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5" x14ac:dyDescent="0.25">
      <c r="A89" s="8"/>
      <c r="B89" s="8"/>
      <c r="C89" s="8"/>
      <c r="D89" s="8"/>
      <c r="E89" s="8"/>
      <c r="F89" s="8"/>
      <c r="G89" s="8"/>
      <c r="H89" s="8"/>
      <c r="I89" s="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5" x14ac:dyDescent="0.25">
      <c r="A90" s="8"/>
      <c r="B90" s="8"/>
      <c r="C90" s="8"/>
      <c r="D90" s="8"/>
      <c r="E90" s="8"/>
      <c r="F90" s="8"/>
      <c r="G90" s="8"/>
      <c r="H90" s="8"/>
      <c r="I90" s="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5" x14ac:dyDescent="0.25">
      <c r="A91" s="8"/>
      <c r="B91" s="8"/>
      <c r="C91" s="8"/>
      <c r="D91" s="8"/>
      <c r="E91" s="8"/>
      <c r="F91" s="8"/>
      <c r="G91" s="8"/>
      <c r="H91" s="8"/>
      <c r="I91" s="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5" x14ac:dyDescent="0.25">
      <c r="A92" s="8"/>
      <c r="B92" s="8"/>
      <c r="C92" s="8"/>
      <c r="D92" s="8"/>
      <c r="E92" s="8"/>
      <c r="F92" s="8"/>
      <c r="G92" s="8"/>
      <c r="H92" s="8"/>
      <c r="I92" s="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5" x14ac:dyDescent="0.25">
      <c r="A93" s="8"/>
      <c r="B93" s="8"/>
      <c r="C93" s="8"/>
      <c r="D93" s="8"/>
      <c r="E93" s="8"/>
      <c r="F93" s="8"/>
      <c r="G93" s="8"/>
      <c r="H93" s="8"/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5" x14ac:dyDescent="0.25">
      <c r="A94" s="8"/>
      <c r="B94" s="8"/>
      <c r="C94" s="8"/>
      <c r="D94" s="8"/>
      <c r="E94" s="8"/>
      <c r="F94" s="8"/>
      <c r="G94" s="8"/>
      <c r="H94" s="8"/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5" x14ac:dyDescent="0.25">
      <c r="A95" s="8"/>
      <c r="B95" s="8"/>
      <c r="C95" s="8"/>
      <c r="D95" s="8"/>
      <c r="E95" s="8"/>
      <c r="F95" s="8"/>
      <c r="G95" s="8"/>
      <c r="H95" s="8"/>
      <c r="I95" s="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5" x14ac:dyDescent="0.25">
      <c r="A96" s="8"/>
      <c r="B96" s="8"/>
      <c r="C96" s="8"/>
      <c r="D96" s="8"/>
      <c r="E96" s="8"/>
      <c r="F96" s="8"/>
      <c r="G96" s="8"/>
      <c r="H96" s="8"/>
      <c r="I96" s="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5" x14ac:dyDescent="0.25">
      <c r="A97" s="8"/>
      <c r="B97" s="8"/>
      <c r="C97" s="8"/>
      <c r="D97" s="8"/>
      <c r="E97" s="8"/>
      <c r="F97" s="8"/>
      <c r="G97" s="8"/>
      <c r="H97" s="8"/>
      <c r="I97" s="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5" x14ac:dyDescent="0.25">
      <c r="A98" s="8"/>
      <c r="B98" s="8"/>
      <c r="C98" s="8"/>
      <c r="D98" s="8"/>
      <c r="E98" s="8"/>
      <c r="F98" s="8"/>
      <c r="G98" s="8"/>
      <c r="H98" s="8"/>
      <c r="I98" s="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5" x14ac:dyDescent="0.25">
      <c r="A99" s="8"/>
      <c r="B99" s="8"/>
      <c r="C99" s="8"/>
      <c r="D99" s="8"/>
      <c r="E99" s="8"/>
      <c r="F99" s="8"/>
      <c r="G99" s="8"/>
      <c r="H99" s="8"/>
      <c r="I99" s="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5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5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5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5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H1:H2"/>
    <mergeCell ref="I1:I2"/>
    <mergeCell ref="A1:A2"/>
    <mergeCell ref="B1:B2"/>
    <mergeCell ref="C1:C2"/>
    <mergeCell ref="D1:D2"/>
    <mergeCell ref="E1:E2"/>
    <mergeCell ref="F1:F2"/>
    <mergeCell ref="G1:G2"/>
    <mergeCell ref="B21:B22"/>
    <mergeCell ref="B23:B24"/>
    <mergeCell ref="B25:B27"/>
    <mergeCell ref="B3:B5"/>
    <mergeCell ref="B6:B7"/>
    <mergeCell ref="B8:B10"/>
    <mergeCell ref="B13:B14"/>
    <mergeCell ref="B15:B16"/>
    <mergeCell ref="B17:B18"/>
    <mergeCell ref="B19:B20"/>
  </mergeCells>
  <dataValidations count="1">
    <dataValidation type="list" allowBlank="1" showErrorMessage="1" sqref="D3:D31" xr:uid="{00000000-0002-0000-0200-000000000000}">
      <formula1>"✅ Positif,🚫 Negatif,⚠️ Abnormal"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H10" sqref="H10"/>
    </sheetView>
  </sheetViews>
  <sheetFormatPr defaultColWidth="12.6328125" defaultRowHeight="15.75" customHeight="1" x14ac:dyDescent="0.25"/>
  <cols>
    <col min="1" max="1" width="8" customWidth="1"/>
    <col min="3" max="3" width="19.36328125" customWidth="1"/>
    <col min="4" max="4" width="18.7265625" customWidth="1"/>
    <col min="5" max="5" width="17.90625" customWidth="1"/>
    <col min="6" max="6" width="17.453125" customWidth="1"/>
    <col min="7" max="7" width="17.26953125" customWidth="1"/>
    <col min="8" max="8" width="16.26953125" customWidth="1"/>
    <col min="9" max="9" width="34.36328125" customWidth="1"/>
    <col min="10" max="10" width="38.90625" customWidth="1"/>
    <col min="11" max="11" width="42.36328125" customWidth="1"/>
    <col min="12" max="12" width="40.7265625" customWidth="1"/>
    <col min="13" max="13" width="41.453125" customWidth="1"/>
    <col min="14" max="14" width="28.7265625" customWidth="1"/>
  </cols>
  <sheetData>
    <row r="1" spans="1:26" ht="12.5" x14ac:dyDescent="0.25">
      <c r="A1" s="15" t="s">
        <v>0</v>
      </c>
      <c r="B1" s="15" t="s">
        <v>9</v>
      </c>
      <c r="C1" s="15" t="s">
        <v>13</v>
      </c>
      <c r="D1" s="15" t="s">
        <v>15</v>
      </c>
      <c r="E1" s="15" t="s">
        <v>16</v>
      </c>
      <c r="F1" s="15" t="s">
        <v>17</v>
      </c>
      <c r="G1" s="15" t="s">
        <v>20</v>
      </c>
      <c r="H1" s="15" t="s">
        <v>21</v>
      </c>
      <c r="I1" s="15" t="s">
        <v>22</v>
      </c>
      <c r="J1" s="15" t="s">
        <v>23</v>
      </c>
      <c r="K1" s="15" t="s">
        <v>25</v>
      </c>
      <c r="L1" s="15" t="s">
        <v>26</v>
      </c>
      <c r="M1" s="15" t="s">
        <v>27</v>
      </c>
      <c r="N1" s="15" t="s">
        <v>28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5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7.5" x14ac:dyDescent="0.25">
      <c r="A3" s="5">
        <v>1</v>
      </c>
      <c r="B3" s="5" t="s">
        <v>36</v>
      </c>
      <c r="C3" s="5" t="s">
        <v>36</v>
      </c>
      <c r="D3" s="5" t="s">
        <v>37</v>
      </c>
      <c r="E3" s="5" t="s">
        <v>33</v>
      </c>
      <c r="F3" s="5" t="s">
        <v>49</v>
      </c>
      <c r="G3" s="5" t="s">
        <v>35</v>
      </c>
      <c r="H3" s="5" t="s">
        <v>61</v>
      </c>
      <c r="I3" s="5" t="s">
        <v>63</v>
      </c>
      <c r="J3" s="5" t="s">
        <v>64</v>
      </c>
      <c r="K3" s="5" t="s">
        <v>66</v>
      </c>
      <c r="L3" s="5" t="s">
        <v>68</v>
      </c>
      <c r="M3" s="5" t="s">
        <v>73</v>
      </c>
      <c r="N3" s="5" t="s">
        <v>75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dataValidations count="3">
    <dataValidation type="list" allowBlank="1" showErrorMessage="1" sqref="F3" xr:uid="{00000000-0002-0000-0300-000000000000}">
      <formula1>"Critical,High ,Medium,Low"</formula1>
    </dataValidation>
    <dataValidation type="list" allowBlank="1" showErrorMessage="1" sqref="H3" xr:uid="{00000000-0002-0000-0300-000001000000}">
      <formula1>"New,Open,In Progress,Fixed,Retest,Closed,Reopened"</formula1>
    </dataValidation>
    <dataValidation type="list" allowBlank="1" showErrorMessage="1" sqref="G3" xr:uid="{00000000-0002-0000-0300-000002000000}">
      <formula1>"Critical,High,Medium,Low"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Test scenario</vt:lpstr>
      <vt:lpstr>Leave Management</vt:lpstr>
      <vt:lpstr>Bug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Febrina Sihombing</cp:lastModifiedBy>
  <dcterms:modified xsi:type="dcterms:W3CDTF">2026-08-21T06:44:34Z</dcterms:modified>
</cp:coreProperties>
</file>